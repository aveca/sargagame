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venue" sheetId="2" state="visible" r:id="rId2"/>
    <sheet name="Funnel" sheetId="3" state="visible" r:id="rId3"/>
    <sheet name="A-B Tests" sheetId="4" state="visible" r:id="rId4"/>
    <sheet name="Roadmap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686868"/>
      <sz val="9"/>
    </font>
    <font>
      <b val="1"/>
      <color rgb="000D1E1C"/>
      <sz val="20"/>
    </font>
    <font>
      <b val="1"/>
      <sz val="12"/>
    </font>
    <font>
      <b val="1"/>
    </font>
    <font>
      <b val="1"/>
      <color rgb="00FFFFFF"/>
      <sz val="10"/>
    </font>
    <font>
      <color rgb="000000FF"/>
    </font>
    <font>
      <b val="1"/>
      <color rgb="00FFFFFF"/>
      <sz val="9"/>
    </font>
  </fonts>
  <fills count="7">
    <fill>
      <patternFill/>
    </fill>
    <fill>
      <patternFill patternType="gray125"/>
    </fill>
    <fill>
      <patternFill patternType="solid">
        <fgColor rgb="000D1E1C"/>
      </patternFill>
    </fill>
    <fill>
      <patternFill patternType="solid">
        <fgColor rgb="00FFF8E1"/>
      </patternFill>
    </fill>
    <fill>
      <patternFill patternType="solid">
        <fgColor rgb="00F5F5F5"/>
      </patternFill>
    </fill>
    <fill>
      <patternFill patternType="solid">
        <fgColor rgb="00E8F5E9"/>
      </patternFill>
    </fill>
    <fill>
      <patternFill patternType="solid">
        <fgColor rgb="00FFF3E0"/>
      </patternFill>
    </fill>
  </fills>
  <borders count="2">
    <border>
      <left/>
      <right/>
      <top/>
      <bottom/>
      <diagonal/>
    </border>
    <border>
      <bottom style="thin">
        <color rgb="00E0E0E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4" fontId="3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164" fontId="3" fillId="3" borderId="0" applyAlignment="1" pivotButton="0" quotePrefix="0" xfId="0">
      <alignment horizontal="center" vertical="center"/>
    </xf>
    <xf numFmtId="0" fontId="4" fillId="0" borderId="0" pivotButton="0" quotePrefix="0" xfId="0"/>
    <xf numFmtId="0" fontId="5" fillId="4" borderId="1" pivotButton="0" quotePrefix="0" xfId="0"/>
    <xf numFmtId="0" fontId="0" fillId="0" borderId="1" pivotButton="0" quotePrefix="0" xfId="0"/>
    <xf numFmtId="0" fontId="6" fillId="2" borderId="0" applyAlignment="1" pivotButton="0" quotePrefix="0" xfId="0">
      <alignment horizontal="center" vertical="center"/>
    </xf>
    <xf numFmtId="0" fontId="7" fillId="0" borderId="0" pivotButton="0" quotePrefix="0" xfId="0"/>
    <xf numFmtId="4" fontId="0" fillId="0" borderId="0" pivotButton="0" quotePrefix="0" xfId="0"/>
    <xf numFmtId="4" fontId="7" fillId="0" borderId="0" pivotButton="0" quotePrefix="0" xfId="0"/>
    <xf numFmtId="0" fontId="6" fillId="2" borderId="1" pivotButton="0" quotePrefix="0" xfId="0"/>
    <xf numFmtId="0" fontId="0" fillId="0" borderId="1" applyAlignment="1" pivotButton="0" quotePrefix="0" xfId="0">
      <alignment horizontal="center" vertical="center"/>
    </xf>
    <xf numFmtId="10" fontId="0" fillId="0" borderId="1" applyAlignment="1" pivotButton="0" quotePrefix="0" xfId="0">
      <alignment horizontal="center" vertical="center"/>
    </xf>
    <xf numFmtId="0" fontId="8" fillId="2" borderId="0" pivotButton="0" quotePrefix="0" xfId="0"/>
    <xf numFmtId="10" fontId="0" fillId="0" borderId="0" pivotButton="0" quotePrefix="0" xfId="0"/>
    <xf numFmtId="164" fontId="0" fillId="0" borderId="0" pivotButton="0" quotePrefix="0" xfId="0"/>
    <xf numFmtId="0" fontId="0" fillId="3" borderId="0" pivotButton="0" quotePrefix="0" xfId="0"/>
    <xf numFmtId="0" fontId="0" fillId="5" borderId="1" pivotButton="0" quotePrefix="0" xfId="0"/>
    <xf numFmtId="0" fontId="0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SARGASSES - Business Dashboard</t>
        </is>
      </c>
    </row>
    <row r="3">
      <c r="A3" s="2" t="inlineStr">
        <is>
          <t>MRR (EUR)</t>
        </is>
      </c>
      <c r="B3" s="2" t="inlineStr">
        <is>
          <t>Clients actifs</t>
        </is>
      </c>
      <c r="C3" s="2" t="inlineStr">
        <is>
          <t>Emails</t>
        </is>
      </c>
      <c r="D3" s="2" t="inlineStr">
        <is>
          <t>Feedbacks</t>
        </is>
      </c>
      <c r="E3" s="2" t="inlineStr">
        <is>
          <t>Conv. rate</t>
        </is>
      </c>
      <c r="F3" s="2" t="inlineStr">
        <is>
          <t>Sessions/jour</t>
        </is>
      </c>
    </row>
    <row r="4">
      <c r="A4" s="3">
        <f>Revenue!E2</f>
        <v/>
      </c>
      <c r="B4" s="4">
        <f>Revenue!D2</f>
        <v/>
      </c>
      <c r="C4" s="4" t="n">
        <v>1</v>
      </c>
      <c r="D4" s="4" t="n">
        <v>0</v>
      </c>
      <c r="E4" s="5" t="n">
        <v>0.015</v>
      </c>
      <c r="F4" s="4" t="n">
        <v>400</v>
      </c>
    </row>
    <row r="7">
      <c r="A7" s="6" t="inlineStr">
        <is>
          <t>Objectifs</t>
        </is>
      </c>
    </row>
    <row r="8">
      <c r="A8" s="7" t="inlineStr"/>
      <c r="B8" s="7" t="inlineStr">
        <is>
          <t>Avril</t>
        </is>
      </c>
      <c r="C8" s="7" t="inlineStr">
        <is>
          <t>Mai</t>
        </is>
      </c>
      <c r="D8" s="7" t="inlineStr">
        <is>
          <t>Juin</t>
        </is>
      </c>
      <c r="E8" s="7" t="inlineStr">
        <is>
          <t>Juillet</t>
        </is>
      </c>
      <c r="F8" s="7" t="inlineStr">
        <is>
          <t>Aout</t>
        </is>
      </c>
    </row>
    <row r="9">
      <c r="A9" s="8" t="inlineStr">
        <is>
          <t>MRR</t>
        </is>
      </c>
      <c r="B9" s="8" t="n">
        <v>15</v>
      </c>
      <c r="C9" s="8" t="n">
        <v>50</v>
      </c>
      <c r="D9" s="8" t="n">
        <v>100</v>
      </c>
      <c r="E9" s="8" t="n">
        <v>200</v>
      </c>
      <c r="F9" s="8" t="n">
        <v>500</v>
      </c>
    </row>
    <row r="10">
      <c r="A10" s="8" t="inlineStr">
        <is>
          <t>Clients</t>
        </is>
      </c>
      <c r="B10" s="8" t="n">
        <v>3</v>
      </c>
      <c r="C10" s="8" t="n">
        <v>10</v>
      </c>
      <c r="D10" s="8" t="n">
        <v>20</v>
      </c>
      <c r="E10" s="8" t="n">
        <v>40</v>
      </c>
      <c r="F10" s="8" t="n">
        <v>100</v>
      </c>
    </row>
    <row r="11">
      <c r="A11" s="8" t="inlineStr">
        <is>
          <t>Emails</t>
        </is>
      </c>
      <c r="B11" s="8" t="n">
        <v>1</v>
      </c>
      <c r="C11" s="8" t="n">
        <v>50</v>
      </c>
      <c r="D11" s="8" t="n">
        <v>150</v>
      </c>
      <c r="E11" s="8" t="n">
        <v>300</v>
      </c>
      <c r="F11" s="8" t="n">
        <v>500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9" t="inlineStr">
        <is>
          <t>Mois</t>
        </is>
      </c>
      <c r="B1" s="9" t="inlineStr">
        <is>
          <t>Nouveaux</t>
        </is>
      </c>
      <c r="C1" s="9" t="inlineStr">
        <is>
          <t>Churned</t>
        </is>
      </c>
      <c r="D1" s="9" t="inlineStr">
        <is>
          <t>Actifs</t>
        </is>
      </c>
      <c r="E1" s="9" t="inlineStr">
        <is>
          <t>MRR</t>
        </is>
      </c>
      <c r="F1" s="9" t="inlineStr">
        <is>
          <t>Couts</t>
        </is>
      </c>
      <c r="G1" s="9" t="inlineStr">
        <is>
          <t>Net</t>
        </is>
      </c>
    </row>
    <row r="2">
      <c r="A2" t="inlineStr">
        <is>
          <t>Avril 2026</t>
        </is>
      </c>
      <c r="B2" s="10" t="n">
        <v>3</v>
      </c>
      <c r="C2" s="10" t="n">
        <v>0</v>
      </c>
      <c r="D2">
        <f>B2-C2</f>
        <v/>
      </c>
      <c r="E2" s="11">
        <f>D2*4.99</f>
        <v/>
      </c>
      <c r="F2" s="12" t="n">
        <v>1.67</v>
      </c>
      <c r="G2" s="11">
        <f>E2-F2</f>
        <v/>
      </c>
    </row>
    <row r="3">
      <c r="A3" t="inlineStr">
        <is>
          <t>Mai</t>
        </is>
      </c>
      <c r="B3" s="10" t="n"/>
      <c r="C3" s="10" t="n"/>
      <c r="D3">
        <f>D2+B3-C3</f>
        <v/>
      </c>
      <c r="E3" s="11">
        <f>D3*4.99</f>
        <v/>
      </c>
      <c r="F3" s="11">
        <f>F2</f>
        <v/>
      </c>
      <c r="G3" s="11">
        <f>E3-F3</f>
        <v/>
      </c>
    </row>
    <row r="4">
      <c r="A4" t="inlineStr">
        <is>
          <t>Juin</t>
        </is>
      </c>
      <c r="B4" s="10" t="n"/>
      <c r="C4" s="10" t="n"/>
      <c r="D4">
        <f>D3+B4-C4</f>
        <v/>
      </c>
      <c r="E4" s="11">
        <f>D4*4.99</f>
        <v/>
      </c>
      <c r="F4" s="11">
        <f>F3</f>
        <v/>
      </c>
      <c r="G4" s="11">
        <f>E4-F4</f>
        <v/>
      </c>
    </row>
    <row r="5">
      <c r="A5" t="inlineStr">
        <is>
          <t>Juil</t>
        </is>
      </c>
      <c r="B5" s="10" t="n"/>
      <c r="C5" s="10" t="n"/>
      <c r="D5">
        <f>D4+B5-C5</f>
        <v/>
      </c>
      <c r="E5" s="11">
        <f>D5*4.99</f>
        <v/>
      </c>
      <c r="F5" s="11">
        <f>F4</f>
        <v/>
      </c>
      <c r="G5" s="11">
        <f>E5-F5</f>
        <v/>
      </c>
    </row>
    <row r="6">
      <c r="A6" t="inlineStr">
        <is>
          <t>Aout</t>
        </is>
      </c>
      <c r="B6" s="10" t="n"/>
      <c r="C6" s="10" t="n"/>
      <c r="D6">
        <f>D5+B6-C6</f>
        <v/>
      </c>
      <c r="E6" s="11">
        <f>D6*4.99</f>
        <v/>
      </c>
      <c r="F6" s="11">
        <f>F5</f>
        <v/>
      </c>
      <c r="G6" s="11">
        <f>E6-F6</f>
        <v/>
      </c>
    </row>
    <row r="7">
      <c r="A7" t="inlineStr">
        <is>
          <t>Sept</t>
        </is>
      </c>
      <c r="B7" s="10" t="n"/>
      <c r="C7" s="10" t="n"/>
      <c r="D7">
        <f>D6+B7-C7</f>
        <v/>
      </c>
      <c r="E7" s="11">
        <f>D7*4.99</f>
        <v/>
      </c>
      <c r="F7" s="11">
        <f>F6</f>
        <v/>
      </c>
      <c r="G7" s="11">
        <f>E7-F7</f>
        <v/>
      </c>
    </row>
    <row r="8">
      <c r="A8" t="inlineStr">
        <is>
          <t>Oct</t>
        </is>
      </c>
      <c r="B8" s="10" t="n"/>
      <c r="C8" s="10" t="n"/>
      <c r="D8">
        <f>D7+B8-C8</f>
        <v/>
      </c>
      <c r="E8" s="11">
        <f>D8*4.99</f>
        <v/>
      </c>
      <c r="F8" s="11">
        <f>F7</f>
        <v/>
      </c>
      <c r="G8" s="11">
        <f>E8-F8</f>
        <v/>
      </c>
    </row>
    <row r="9">
      <c r="A9" t="inlineStr">
        <is>
          <t>Nov</t>
        </is>
      </c>
      <c r="B9" s="10" t="n"/>
      <c r="C9" s="10" t="n"/>
      <c r="D9">
        <f>D8+B9-C9</f>
        <v/>
      </c>
      <c r="E9" s="11">
        <f>D9*4.99</f>
        <v/>
      </c>
      <c r="F9" s="11">
        <f>F8</f>
        <v/>
      </c>
      <c r="G9" s="11">
        <f>E9-F9</f>
        <v/>
      </c>
    </row>
    <row r="10">
      <c r="A10" t="inlineStr">
        <is>
          <t>Dec</t>
        </is>
      </c>
      <c r="B10" s="10" t="n"/>
      <c r="C10" s="10" t="n"/>
      <c r="D10">
        <f>D9+B10-C10</f>
        <v/>
      </c>
      <c r="E10" s="11">
        <f>D10*4.99</f>
        <v/>
      </c>
      <c r="F10" s="11">
        <f>F9</f>
        <v/>
      </c>
      <c r="G10" s="11">
        <f>E10-F10</f>
        <v/>
      </c>
    </row>
    <row r="11">
      <c r="A11" t="inlineStr">
        <is>
          <t>Jan 27</t>
        </is>
      </c>
      <c r="B11" s="10" t="n"/>
      <c r="C11" s="10" t="n"/>
      <c r="D11">
        <f>D10+B11-C11</f>
        <v/>
      </c>
      <c r="E11" s="11">
        <f>D11*4.99</f>
        <v/>
      </c>
      <c r="F11" s="11">
        <f>F10</f>
        <v/>
      </c>
      <c r="G11" s="11">
        <f>E11-F11</f>
        <v/>
      </c>
    </row>
    <row r="12">
      <c r="A12" t="inlineStr">
        <is>
          <t>Fev 27</t>
        </is>
      </c>
      <c r="B12" s="10" t="n"/>
      <c r="C12" s="10" t="n"/>
      <c r="D12">
        <f>D11+B12-C12</f>
        <v/>
      </c>
      <c r="E12" s="11">
        <f>D12*4.99</f>
        <v/>
      </c>
      <c r="F12" s="11">
        <f>F11</f>
        <v/>
      </c>
      <c r="G12" s="11">
        <f>E12-F12</f>
        <v/>
      </c>
    </row>
    <row r="13">
      <c r="A13" t="inlineStr">
        <is>
          <t>Mars 27</t>
        </is>
      </c>
      <c r="B13" s="10" t="n"/>
      <c r="C13" s="10" t="n"/>
      <c r="D13">
        <f>D12+B13-C13</f>
        <v/>
      </c>
      <c r="E13" s="11">
        <f>D13*4.99</f>
        <v/>
      </c>
      <c r="F13" s="11">
        <f>F12</f>
        <v/>
      </c>
      <c r="G13" s="11">
        <f>E13-F13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  <col width="25" customWidth="1" min="3" max="3"/>
  </cols>
  <sheetData>
    <row r="1">
      <c r="A1" s="13" t="inlineStr">
        <is>
          <t>Etape</t>
        </is>
      </c>
      <c r="B1" s="13" t="inlineStr">
        <is>
          <t>Volume/jour</t>
        </is>
      </c>
      <c r="C1" s="13" t="inlineStr">
        <is>
          <t>Taux</t>
        </is>
      </c>
    </row>
    <row r="2">
      <c r="A2" s="8" t="inlineStr">
        <is>
          <t>Sessions</t>
        </is>
      </c>
      <c r="B2" s="14" t="n">
        <v>400</v>
      </c>
      <c r="C2" s="15" t="inlineStr">
        <is>
          <t>100%</t>
        </is>
      </c>
    </row>
    <row r="3">
      <c r="A3" s="8" t="inlineStr">
        <is>
          <t>Onboarding complete</t>
        </is>
      </c>
      <c r="B3" s="14">
        <f>B2*0.7</f>
        <v/>
      </c>
      <c r="C3" s="15">
        <f>B3/B2</f>
        <v/>
      </c>
    </row>
    <row r="4">
      <c r="A4" s="8" t="inlineStr">
        <is>
          <t>Beach view</t>
        </is>
      </c>
      <c r="B4" s="14">
        <f>B2*0.45</f>
        <v/>
      </c>
      <c r="C4" s="15">
        <f>B4/B2</f>
        <v/>
      </c>
    </row>
    <row r="5">
      <c r="A5" s="8" t="inlineStr">
        <is>
          <t>Forecast lock click</t>
        </is>
      </c>
      <c r="B5" s="14">
        <f>B4*0.15</f>
        <v/>
      </c>
      <c r="C5" s="15">
        <f>B5/B2</f>
        <v/>
      </c>
    </row>
    <row r="6">
      <c r="A6" s="8" t="inlineStr">
        <is>
          <t>Premium modal open</t>
        </is>
      </c>
      <c r="B6" s="14">
        <f>B5*0.6</f>
        <v/>
      </c>
      <c r="C6" s="15">
        <f>B6/B2</f>
        <v/>
      </c>
    </row>
    <row r="7">
      <c r="A7" s="8" t="inlineStr">
        <is>
          <t>Stripe click</t>
        </is>
      </c>
      <c r="B7" s="14">
        <f>B6*0.3</f>
        <v/>
      </c>
      <c r="C7" s="15">
        <f>B7/B2</f>
        <v/>
      </c>
    </row>
    <row r="8">
      <c r="A8" s="8" t="inlineStr">
        <is>
          <t>Conversion</t>
        </is>
      </c>
      <c r="B8" s="14">
        <f>B7*0.2</f>
        <v/>
      </c>
      <c r="C8" s="15">
        <f>B8/B2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16" t="inlineStr">
        <is>
          <t>Test</t>
        </is>
      </c>
      <c r="B1" s="16" t="inlineStr">
        <is>
          <t>Var A</t>
        </is>
      </c>
      <c r="C1" s="16" t="inlineStr">
        <is>
          <t>Var B</t>
        </is>
      </c>
      <c r="D1" s="16" t="inlineStr">
        <is>
          <t>Sess A</t>
        </is>
      </c>
      <c r="E1" s="16" t="inlineStr">
        <is>
          <t>Sess B</t>
        </is>
      </c>
      <c r="F1" s="16" t="inlineStr">
        <is>
          <t>Conv A</t>
        </is>
      </c>
      <c r="G1" s="16" t="inlineStr">
        <is>
          <t>Conv B</t>
        </is>
      </c>
      <c r="H1" s="16" t="inlineStr">
        <is>
          <t>Rate A</t>
        </is>
      </c>
      <c r="I1" s="16" t="inlineStr">
        <is>
          <t>Rate B</t>
        </is>
      </c>
      <c r="J1" s="16" t="inlineStr">
        <is>
          <t>Lift</t>
        </is>
      </c>
      <c r="K1" s="16" t="inlineStr">
        <is>
          <t>Winner</t>
        </is>
      </c>
      <c r="L1" s="16" t="inlineStr">
        <is>
          <t>Status</t>
        </is>
      </c>
    </row>
    <row r="2">
      <c r="A2" t="inlineStr">
        <is>
          <t>lock1</t>
        </is>
      </c>
      <c r="B2" t="inlineStr">
        <is>
          <t>control</t>
        </is>
      </c>
      <c r="C2" t="inlineStr">
        <is>
          <t>loss</t>
        </is>
      </c>
      <c r="D2" s="10" t="n"/>
      <c r="E2" s="10" t="n"/>
      <c r="F2" s="10" t="n"/>
      <c r="G2" s="10" t="n"/>
      <c r="H2" s="17">
        <f>IF(D2=0,"-",F2/D2)</f>
        <v/>
      </c>
      <c r="I2" s="17">
        <f>IF(E2=0,"-",G2/E2)</f>
        <v/>
      </c>
      <c r="J2" s="18">
        <f>IF(OR(D2=0,H2=0),"-",(I2-H2)/H2)</f>
        <v/>
      </c>
      <c r="L2" s="19" t="inlineStr">
        <is>
          <t>Running</t>
        </is>
      </c>
    </row>
    <row r="3">
      <c r="A3" t="inlineStr">
        <is>
          <t>modal1</t>
        </is>
      </c>
      <c r="B3" t="inlineStr">
        <is>
          <t>control</t>
        </is>
      </c>
      <c r="C3" t="inlineStr">
        <is>
          <t>family</t>
        </is>
      </c>
      <c r="D3" s="10" t="n"/>
      <c r="E3" s="10" t="n"/>
      <c r="F3" s="10" t="n"/>
      <c r="G3" s="10" t="n"/>
      <c r="H3" s="17">
        <f>IF(D3=0,"-",F3/D3)</f>
        <v/>
      </c>
      <c r="I3" s="17">
        <f>IF(E3=0,"-",G3/E3)</f>
        <v/>
      </c>
      <c r="J3" s="18">
        <f>IF(OR(D3=0,H3=0),"-",(I3-H3)/H3)</f>
        <v/>
      </c>
      <c r="L3" s="19" t="inlineStr">
        <is>
          <t>Running</t>
        </is>
      </c>
    </row>
    <row r="4">
      <c r="A4" t="inlineStr">
        <is>
          <t>onb1</t>
        </is>
      </c>
      <c r="B4" t="inlineStr">
        <is>
          <t>control</t>
        </is>
      </c>
      <c r="C4" t="inlineStr">
        <is>
          <t>skip</t>
        </is>
      </c>
      <c r="D4" s="10" t="n"/>
      <c r="E4" s="10" t="n"/>
      <c r="F4" s="10" t="n"/>
      <c r="G4" s="10" t="n"/>
      <c r="H4" s="17">
        <f>IF(D4=0,"-",F4/D4)</f>
        <v/>
      </c>
      <c r="I4" s="17">
        <f>IF(E4=0,"-",G4/E4)</f>
        <v/>
      </c>
      <c r="J4" s="18">
        <f>IF(OR(D4=0,H4=0),"-",(I4-H4)/H4)</f>
        <v/>
      </c>
      <c r="L4" s="19" t="inlineStr">
        <is>
          <t>Running</t>
        </is>
      </c>
    </row>
    <row r="5">
      <c r="A5" t="inlineStr">
        <is>
          <t>free1</t>
        </is>
      </c>
      <c r="B5" t="inlineStr">
        <is>
          <t>control</t>
        </is>
      </c>
      <c r="C5" t="inlineStr">
        <is>
          <t>two_free</t>
        </is>
      </c>
      <c r="D5" s="10" t="n"/>
      <c r="E5" s="10" t="n"/>
      <c r="F5" s="10" t="n"/>
      <c r="G5" s="10" t="n"/>
      <c r="H5" s="17">
        <f>IF(D5=0,"-",F5/D5)</f>
        <v/>
      </c>
      <c r="I5" s="17">
        <f>IF(E5=0,"-",G5/E5)</f>
        <v/>
      </c>
      <c r="J5" s="18">
        <f>IF(OR(D5=0,H5=0),"-",(I5-H5)/H5)</f>
        <v/>
      </c>
      <c r="L5" s="19" t="inlineStr">
        <is>
          <t>Running</t>
        </is>
      </c>
    </row>
    <row r="6">
      <c r="A6" t="inlineStr">
        <is>
          <t>vp1</t>
        </is>
      </c>
      <c r="B6" t="inlineStr">
        <is>
          <t>feature</t>
        </is>
      </c>
      <c r="C6" t="inlineStr">
        <is>
          <t>outcome</t>
        </is>
      </c>
      <c r="D6" s="10" t="n"/>
      <c r="E6" s="10" t="n"/>
      <c r="F6" s="10" t="n"/>
      <c r="G6" s="10" t="n"/>
      <c r="H6" s="17">
        <f>IF(D6=0,"-",F6/D6)</f>
        <v/>
      </c>
      <c r="I6" s="17">
        <f>IF(E6=0,"-",G6/E6)</f>
        <v/>
      </c>
      <c r="J6" s="18">
        <f>IF(OR(D6=0,H6=0),"-",(I6-H6)/H6)</f>
        <v/>
      </c>
      <c r="L6" s="19" t="inlineStr">
        <is>
          <t>Running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cols>
    <col width="35" customWidth="1" min="1" max="1"/>
    <col width="35" customWidth="1" min="2" max="2"/>
    <col width="35" customWidth="1" min="3" max="3"/>
  </cols>
  <sheetData>
    <row r="1">
      <c r="A1" s="13" t="inlineStr">
        <is>
          <t>Cadence</t>
        </is>
      </c>
      <c r="B1" s="13" t="inlineStr">
        <is>
          <t>Action</t>
        </is>
      </c>
      <c r="C1" s="13" t="inlineStr">
        <is>
          <t>Status</t>
        </is>
      </c>
    </row>
    <row r="2">
      <c r="A2" s="8" t="inlineStr">
        <is>
          <t>Session</t>
        </is>
      </c>
      <c r="B2" s="8" t="inlineStr">
        <is>
          <t>Lire daily-metrics.json</t>
        </is>
      </c>
      <c r="C2" s="20" t="inlineStr">
        <is>
          <t>Auto</t>
        </is>
      </c>
    </row>
    <row r="3">
      <c r="A3" s="8" t="inlineStr">
        <is>
          <t>Session</t>
        </is>
      </c>
      <c r="B3" s="8" t="inlineStr">
        <is>
          <t>Checker A/B tests</t>
        </is>
      </c>
      <c r="C3" s="21" t="inlineStr">
        <is>
          <t>Manuel</t>
        </is>
      </c>
    </row>
    <row r="4">
      <c r="A4" s="8" t="inlineStr">
        <is>
          <t>Session</t>
        </is>
      </c>
      <c r="B4" s="8" t="inlineStr">
        <is>
          <t>Appliquer variant gagnant</t>
        </is>
      </c>
      <c r="C4" s="21" t="inlineStr">
        <is>
          <t>Manuel</t>
        </is>
      </c>
    </row>
    <row r="5">
      <c r="A5" s="8" t="inlineStr">
        <is>
          <t>Quotidien</t>
        </is>
      </c>
      <c r="B5" s="8" t="inlineStr">
        <is>
          <t>ERDDAP fetch + deploy 4x/jour</t>
        </is>
      </c>
      <c r="C5" s="20" t="inlineStr">
        <is>
          <t>Auto</t>
        </is>
      </c>
    </row>
    <row r="6">
      <c r="A6" s="8" t="inlineStr">
        <is>
          <t>Quotidien</t>
        </is>
      </c>
      <c r="B6" s="8" t="inlineStr">
        <is>
          <t>Stats check + trends</t>
        </is>
      </c>
      <c r="C6" s="20" t="inlineStr">
        <is>
          <t>Auto</t>
        </is>
      </c>
    </row>
    <row r="7">
      <c r="A7" s="8" t="inlineStr">
        <is>
          <t>Vendredi</t>
        </is>
      </c>
      <c r="B7" s="8" t="inlineStr">
        <is>
          <t>Email weekend bulletin</t>
        </is>
      </c>
      <c r="C7" s="20" t="inlineStr">
        <is>
          <t>Auto</t>
        </is>
      </c>
    </row>
    <row r="8">
      <c r="A8" s="8" t="inlineStr">
        <is>
          <t>Lundi</t>
        </is>
      </c>
      <c r="B8" s="8" t="inlineStr">
        <is>
          <t>SEO audit + optimize</t>
        </is>
      </c>
      <c r="C8" s="20" t="inlineStr">
        <is>
          <t>Auto</t>
        </is>
      </c>
    </row>
    <row r="9">
      <c r="A9" s="8" t="inlineStr">
        <is>
          <t>Jeudi</t>
        </is>
      </c>
      <c r="B9" s="8" t="inlineStr">
        <is>
          <t>UX report</t>
        </is>
      </c>
      <c r="C9" s="20" t="inlineStr">
        <is>
          <t>Auto</t>
        </is>
      </c>
    </row>
    <row r="10">
      <c r="A10" s="8" t="inlineStr">
        <is>
          <t>Mensuel</t>
        </is>
      </c>
      <c r="B10" s="8" t="inlineStr">
        <is>
          <t>Revenue check Stripe</t>
        </is>
      </c>
      <c r="C10" s="21" t="inlineStr">
        <is>
          <t>Manuel</t>
        </is>
      </c>
    </row>
    <row r="11">
      <c r="A11" s="8" t="inlineStr">
        <is>
          <t>Mensuel</t>
        </is>
      </c>
      <c r="B11" s="8" t="inlineStr">
        <is>
          <t>Churn check</t>
        </is>
      </c>
      <c r="C11" s="21" t="inlineStr">
        <is>
          <t>Manuel</t>
        </is>
      </c>
    </row>
    <row r="12">
      <c r="A12" s="8" t="inlineStr">
        <is>
          <t>Mensuel</t>
        </is>
      </c>
      <c r="B12" s="8" t="inlineStr">
        <is>
          <t>Growth emails/clients</t>
        </is>
      </c>
      <c r="C12" s="21" t="inlineStr">
        <is>
          <t>Manuel</t>
        </is>
      </c>
    </row>
    <row r="13">
      <c r="A13" s="8" t="inlineStr">
        <is>
          <t>Trimestriel</t>
        </is>
      </c>
      <c r="B13" s="8" t="inlineStr">
        <is>
          <t>PMF survey (40% = PMF)</t>
        </is>
      </c>
      <c r="C13" s="21" t="inlineStr">
        <is>
          <t>Manuel</t>
        </is>
      </c>
    </row>
    <row r="14">
      <c r="A14" s="8" t="inlineStr">
        <is>
          <t>Trimestriel</t>
        </is>
      </c>
      <c r="B14" s="8" t="inlineStr">
        <is>
          <t>Pricing review</t>
        </is>
      </c>
      <c r="C14" s="21" t="inlineStr">
        <is>
          <t>Manuel</t>
        </is>
      </c>
    </row>
    <row r="15">
      <c r="A15" s="8" t="inlineStr">
        <is>
          <t>Annuel</t>
        </is>
      </c>
      <c r="B15" s="8" t="inlineStr">
        <is>
          <t>Expansion autres iles</t>
        </is>
      </c>
      <c r="C15" s="21" t="inlineStr">
        <is>
          <t>Manuel</t>
        </is>
      </c>
    </row>
    <row r="16">
      <c r="A16" s="8" t="inlineStr">
        <is>
          <t>Annuel</t>
        </is>
      </c>
      <c r="B16" s="8" t="inlineStr">
        <is>
          <t>Partenariats tourisme</t>
        </is>
      </c>
      <c r="C16" s="21" t="inlineStr">
        <is>
          <t>Manuel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2026-04-06T06:05:24Z</dcterms:created>
  <dcterms:modified xsi:type="dcterms:W3CDTF">2026-04-06T06:05:24Z</dcterms:modified>
</cp:coreProperties>
</file>